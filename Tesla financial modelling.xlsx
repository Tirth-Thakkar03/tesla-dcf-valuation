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Tirth\OneDrive\Desktop\Projects work in summer 2025\"/>
    </mc:Choice>
  </mc:AlternateContent>
  <xr:revisionPtr revIDLastSave="0" documentId="13_ncr:1_{D7A0D70E-8AB7-40C9-A5EA-5D5064D05A79}" xr6:coauthVersionLast="47" xr6:coauthVersionMax="47" xr10:uidLastSave="{00000000-0000-0000-0000-000000000000}"/>
  <bookViews>
    <workbookView xWindow="-108" yWindow="-108" windowWidth="23256" windowHeight="12456" activeTab="1" xr2:uid="{F2DAC982-962D-4C7E-ACB0-1CA1E842EC06}"/>
  </bookViews>
  <sheets>
    <sheet name="Project Summary" sheetId="2" r:id="rId1"/>
    <sheet name="Tesla DCF"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1" l="1"/>
  <c r="D18" i="1"/>
  <c r="H17" i="1"/>
  <c r="H8" i="1"/>
  <c r="I8" i="1" s="1"/>
  <c r="J8" i="1" s="1"/>
  <c r="H6" i="1"/>
  <c r="I6" i="1" s="1"/>
  <c r="G9" i="1"/>
  <c r="F9" i="1"/>
  <c r="E9" i="1"/>
  <c r="D9" i="1"/>
  <c r="C9" i="1"/>
  <c r="G7" i="1"/>
  <c r="F7" i="1"/>
  <c r="E7" i="1"/>
  <c r="D7" i="1"/>
  <c r="C7" i="1"/>
  <c r="E11" i="1"/>
  <c r="R14" i="1"/>
  <c r="I17" i="1" s="1"/>
  <c r="R9" i="1"/>
  <c r="R10" i="1"/>
  <c r="D10" i="1"/>
  <c r="E10" i="1"/>
  <c r="E18" i="1" s="1"/>
  <c r="F10" i="1"/>
  <c r="F18" i="1" s="1"/>
  <c r="G10" i="1"/>
  <c r="G11" i="1" s="1"/>
  <c r="C10" i="1"/>
  <c r="D11" i="1" s="1"/>
  <c r="G18" i="1" l="1"/>
  <c r="J17" i="1"/>
  <c r="F11" i="1"/>
  <c r="C18" i="1"/>
  <c r="C11" i="1"/>
  <c r="J6" i="1"/>
  <c r="J10" i="1" s="1"/>
  <c r="J18" i="1" s="1"/>
  <c r="I10" i="1"/>
  <c r="H10" i="1"/>
  <c r="H11" i="1" s="1"/>
  <c r="H18" i="1" l="1"/>
  <c r="I11" i="1"/>
  <c r="I18" i="1"/>
  <c r="J11" i="1"/>
  <c r="J13" i="1"/>
  <c r="D37" i="1" l="1"/>
  <c r="J19" i="1"/>
  <c r="J20" i="1" l="1"/>
  <c r="F24" i="1" s="1"/>
  <c r="F27" i="1" s="1"/>
  <c r="D38" i="1"/>
  <c r="F31" i="1" l="1"/>
  <c r="O20" i="1" l="1"/>
</calcChain>
</file>

<file path=xl/sharedStrings.xml><?xml version="1.0" encoding="utf-8"?>
<sst xmlns="http://schemas.openxmlformats.org/spreadsheetml/2006/main" count="42" uniqueCount="36">
  <si>
    <t>Model for Tesla</t>
  </si>
  <si>
    <t>FCF</t>
  </si>
  <si>
    <t xml:space="preserve">Cashflow from operations </t>
  </si>
  <si>
    <t>Capex</t>
  </si>
  <si>
    <t>Risk free rate according to treasury bonds</t>
  </si>
  <si>
    <t xml:space="preserve">Cost of debt </t>
  </si>
  <si>
    <t>Beta</t>
  </si>
  <si>
    <t xml:space="preserve">Debt </t>
  </si>
  <si>
    <t>Market Risk Premium</t>
  </si>
  <si>
    <t xml:space="preserve">Cost of equity </t>
  </si>
  <si>
    <t>In Millions</t>
  </si>
  <si>
    <t>Equity</t>
  </si>
  <si>
    <t>% growth</t>
  </si>
  <si>
    <t>Growth</t>
  </si>
  <si>
    <t>WACC</t>
  </si>
  <si>
    <t>Tax Rate</t>
  </si>
  <si>
    <t xml:space="preserve">Total Value </t>
  </si>
  <si>
    <t xml:space="preserve">Growth for terminal value </t>
  </si>
  <si>
    <t xml:space="preserve">Terminal Value </t>
  </si>
  <si>
    <t>Discounting</t>
  </si>
  <si>
    <t>Discounting Factor</t>
  </si>
  <si>
    <t xml:space="preserve">PV of cashflows </t>
  </si>
  <si>
    <t>PV of TV</t>
  </si>
  <si>
    <t xml:space="preserve">Total Cash flow </t>
  </si>
  <si>
    <t xml:space="preserve">Cash and cash equi </t>
  </si>
  <si>
    <t xml:space="preserve">Equity Value </t>
  </si>
  <si>
    <t>Avg shares O/S</t>
  </si>
  <si>
    <t>Share Price</t>
  </si>
  <si>
    <t xml:space="preserve">Enterprise Value  </t>
  </si>
  <si>
    <t xml:space="preserve">Valuation Bridge </t>
  </si>
  <si>
    <t xml:space="preserve">Operating Cashflow Trend </t>
  </si>
  <si>
    <t>Project Overview</t>
  </si>
  <si>
    <t>Approach</t>
  </si>
  <si>
    <t>Key Insights</t>
  </si>
  <si>
    <t>Tools &amp; Skills</t>
  </si>
  <si>
    <t>Sensitivity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</si>
</sst>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A&quot;"/>
    <numFmt numFmtId="165" formatCode="&quot;$&quot;#,##0.00"/>
    <numFmt numFmtId="166" formatCode="0&quot;E&quot;"/>
    <numFmt numFmtId="167" formatCode="0.000%"/>
    <numFmt numFmtId="168" formatCode="0.000"/>
  </numFmts>
  <fonts count="9" x14ac:knownFonts="1">
    <font>
      <sz val="11"/>
      <color theme="1"/>
      <name val="Calibri"/>
      <family val="2"/>
    </font>
    <font>
      <b/>
      <sz val="16"/>
      <color theme="1"/>
      <name val="Calibri"/>
      <family val="2"/>
    </font>
    <font>
      <sz val="14"/>
      <color theme="1"/>
      <name val="Calibri"/>
      <family val="2"/>
    </font>
    <font>
      <b/>
      <sz val="14"/>
      <color theme="1"/>
      <name val="Calibri"/>
      <family val="2"/>
    </font>
    <font>
      <sz val="14"/>
      <color rgb="FF0070C0"/>
      <name val="Calibri"/>
      <family val="2"/>
    </font>
    <font>
      <b/>
      <sz val="14"/>
      <color theme="0"/>
      <name val="Calibri"/>
      <family val="2"/>
    </font>
    <font>
      <b/>
      <sz val="28"/>
      <color theme="0"/>
      <name val="Calibri"/>
      <family val="2"/>
    </font>
    <font>
      <sz val="14"/>
      <color theme="0"/>
      <name val="Calibri"/>
      <family val="2"/>
    </font>
    <font>
      <b/>
      <sz val="18"/>
      <color theme="0"/>
      <name val="Calibri"/>
      <family val="2"/>
    </font>
  </fonts>
  <fills count="5">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002060"/>
        <bgColor indexed="64"/>
      </patternFill>
    </fill>
  </fills>
  <borders count="6">
    <border>
      <left/>
      <right/>
      <top/>
      <bottom/>
      <diagonal/>
    </border>
    <border>
      <left/>
      <right/>
      <top style="medium">
        <color auto="1"/>
      </top>
      <bottom/>
      <diagonal/>
    </border>
    <border>
      <left/>
      <right/>
      <top style="medium">
        <color auto="1"/>
      </top>
      <bottom style="double">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42">
    <xf numFmtId="0" fontId="0" fillId="0" borderId="0" xfId="0"/>
    <xf numFmtId="0" fontId="1" fillId="2" borderId="0" xfId="0" applyFont="1" applyFill="1"/>
    <xf numFmtId="0" fontId="2" fillId="0" borderId="0" xfId="0" applyFont="1"/>
    <xf numFmtId="10" fontId="4" fillId="0" borderId="0" xfId="0" applyNumberFormat="1" applyFont="1"/>
    <xf numFmtId="0" fontId="3" fillId="0" borderId="0" xfId="0" applyFont="1"/>
    <xf numFmtId="0" fontId="4" fillId="0" borderId="0" xfId="0" applyFont="1"/>
    <xf numFmtId="165" fontId="4" fillId="0" borderId="0" xfId="0" applyNumberFormat="1" applyFont="1"/>
    <xf numFmtId="0" fontId="2" fillId="0" borderId="0" xfId="0" applyFont="1" applyAlignment="1">
      <alignment horizontal="right"/>
    </xf>
    <xf numFmtId="165" fontId="2" fillId="0" borderId="0" xfId="0" applyNumberFormat="1" applyFont="1"/>
    <xf numFmtId="10" fontId="2" fillId="0" borderId="0" xfId="0" applyNumberFormat="1" applyFont="1"/>
    <xf numFmtId="167" fontId="2" fillId="0" borderId="0" xfId="0" applyNumberFormat="1" applyFont="1"/>
    <xf numFmtId="167" fontId="4" fillId="0" borderId="0" xfId="0" applyNumberFormat="1" applyFont="1"/>
    <xf numFmtId="165" fontId="3" fillId="0" borderId="0" xfId="0" applyNumberFormat="1" applyFont="1"/>
    <xf numFmtId="168" fontId="2" fillId="0" borderId="0" xfId="0" applyNumberFormat="1" applyFont="1"/>
    <xf numFmtId="0" fontId="3" fillId="0" borderId="1" xfId="0" applyFont="1" applyBorder="1"/>
    <xf numFmtId="0" fontId="2" fillId="0" borderId="1" xfId="0" applyFont="1" applyBorder="1"/>
    <xf numFmtId="10" fontId="3" fillId="0" borderId="0" xfId="0" applyNumberFormat="1" applyFont="1"/>
    <xf numFmtId="9" fontId="3" fillId="0" borderId="0" xfId="0" applyNumberFormat="1" applyFont="1"/>
    <xf numFmtId="0" fontId="3" fillId="0" borderId="2" xfId="0" applyFont="1" applyBorder="1"/>
    <xf numFmtId="0" fontId="2" fillId="0" borderId="2" xfId="0" applyFont="1" applyBorder="1"/>
    <xf numFmtId="165" fontId="2" fillId="0" borderId="2" xfId="0" applyNumberFormat="1" applyFont="1" applyBorder="1"/>
    <xf numFmtId="9" fontId="2" fillId="0" borderId="0" xfId="0" applyNumberFormat="1" applyFont="1"/>
    <xf numFmtId="3" fontId="2" fillId="0" borderId="0" xfId="0" applyNumberFormat="1" applyFont="1"/>
    <xf numFmtId="0" fontId="5" fillId="3" borderId="0" xfId="0" applyFont="1" applyFill="1" applyAlignment="1">
      <alignment vertical="center"/>
    </xf>
    <xf numFmtId="0" fontId="5" fillId="4" borderId="0" xfId="0" applyFont="1" applyFill="1" applyAlignment="1">
      <alignment horizontal="center"/>
    </xf>
    <xf numFmtId="164" fontId="5" fillId="4" borderId="0" xfId="0" applyNumberFormat="1" applyFont="1" applyFill="1" applyAlignment="1">
      <alignment horizontal="center"/>
    </xf>
    <xf numFmtId="166" fontId="5" fillId="4" borderId="0" xfId="0" applyNumberFormat="1" applyFont="1" applyFill="1" applyAlignment="1">
      <alignment horizontal="center"/>
    </xf>
    <xf numFmtId="165" fontId="5" fillId="4" borderId="0" xfId="0" applyNumberFormat="1" applyFont="1" applyFill="1"/>
    <xf numFmtId="165" fontId="7" fillId="4" borderId="0" xfId="0" applyNumberFormat="1" applyFont="1" applyFill="1"/>
    <xf numFmtId="0" fontId="5" fillId="4" borderId="0" xfId="0" applyFont="1" applyFill="1"/>
    <xf numFmtId="0" fontId="7" fillId="4" borderId="0" xfId="0" applyFont="1" applyFill="1"/>
    <xf numFmtId="165" fontId="7" fillId="4" borderId="1" xfId="0" applyNumberFormat="1" applyFont="1" applyFill="1" applyBorder="1"/>
    <xf numFmtId="165" fontId="5" fillId="4" borderId="5" xfId="0" applyNumberFormat="1" applyFont="1" applyFill="1" applyBorder="1"/>
    <xf numFmtId="0" fontId="1" fillId="2" borderId="0" xfId="0" applyFont="1" applyFill="1" applyAlignment="1">
      <alignment horizontal="center"/>
    </xf>
    <xf numFmtId="0" fontId="6" fillId="4" borderId="0" xfId="0" applyFont="1" applyFill="1" applyAlignment="1">
      <alignment horizontal="center" vertical="center"/>
    </xf>
    <xf numFmtId="0" fontId="5" fillId="4" borderId="0" xfId="0" applyFont="1" applyFill="1" applyAlignment="1">
      <alignment horizontal="center" vertical="center"/>
    </xf>
    <xf numFmtId="9" fontId="5" fillId="4" borderId="0" xfId="0" applyNumberFormat="1" applyFont="1" applyFill="1" applyAlignment="1">
      <alignment horizontal="center"/>
    </xf>
    <xf numFmtId="0" fontId="8" fillId="4" borderId="0" xfId="0" applyFont="1" applyFill="1" applyAlignment="1">
      <alignment horizontal="center"/>
    </xf>
    <xf numFmtId="0" fontId="3" fillId="3" borderId="0" xfId="0" applyFont="1" applyFill="1" applyAlignment="1">
      <alignment horizontal="center"/>
    </xf>
    <xf numFmtId="0" fontId="3" fillId="0" borderId="0" xfId="0" applyFont="1" applyAlignment="1">
      <alignment horizontal="center"/>
    </xf>
    <xf numFmtId="0" fontId="3" fillId="0" borderId="3" xfId="0" applyFont="1" applyBorder="1" applyAlignment="1">
      <alignment horizontal="center"/>
    </xf>
    <xf numFmtId="0" fontId="3" fillId="0" borderId="4" xfId="0" applyFont="1" applyBorder="1" applyAlignment="1">
      <alignment horizontal="center"/>
    </xf>
  </cellXfs>
  <cellStyles count="1">
    <cellStyle name="Normal" xfId="0" builtinId="0"/>
  </cellStyles>
  <dxfs count="7">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theme="0"/>
      </font>
      <fill>
        <patternFill>
          <bgColor rgb="FF002060"/>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Valuation Bridge </a:t>
            </a:r>
          </a:p>
          <a:p>
            <a:pPr>
              <a:defRPr/>
            </a:pP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1"/>
          <c:order val="1"/>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'Tesla DCF'!$B$37:$B$38</c:f>
              <c:strCache>
                <c:ptCount val="2"/>
                <c:pt idx="0">
                  <c:v>PV of cashflows </c:v>
                </c:pt>
                <c:pt idx="1">
                  <c:v>PV of TV</c:v>
                </c:pt>
              </c:strCache>
            </c:strRef>
          </c:cat>
          <c:val>
            <c:numRef>
              <c:f>('Tesla DCF'!$D$37,'Tesla DCF'!$D$38)</c:f>
              <c:numCache>
                <c:formatCode>"$"#,##0.00</c:formatCode>
                <c:ptCount val="2"/>
                <c:pt idx="0">
                  <c:v>45760.409887818212</c:v>
                </c:pt>
                <c:pt idx="1">
                  <c:v>175469.65638043726</c:v>
                </c:pt>
              </c:numCache>
            </c:numRef>
          </c:val>
          <c:extLst>
            <c:ext xmlns:c16="http://schemas.microsoft.com/office/drawing/2014/chart" uri="{C3380CC4-5D6E-409C-BE32-E72D297353CC}">
              <c16:uniqueId val="{00000001-18C0-480B-8338-BF12434278F0}"/>
            </c:ext>
          </c:extLst>
        </c:ser>
        <c:dLbls>
          <c:dLblPos val="inEnd"/>
          <c:showLegendKey val="0"/>
          <c:showVal val="1"/>
          <c:showCatName val="0"/>
          <c:showSerName val="0"/>
          <c:showPercent val="0"/>
          <c:showBubbleSize val="0"/>
        </c:dLbls>
        <c:gapWidth val="41"/>
        <c:axId val="517511695"/>
        <c:axId val="517515055"/>
        <c:extLst>
          <c:ext xmlns:c15="http://schemas.microsoft.com/office/drawing/2012/chart" uri="{02D57815-91ED-43cb-92C2-25804820EDAC}">
            <c15:filteredBarSeries>
              <c15:ser>
                <c:idx val="0"/>
                <c:order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strRef>
                    <c:extLst>
                      <c:ext uri="{02D57815-91ED-43cb-92C2-25804820EDAC}">
                        <c15:formulaRef>
                          <c15:sqref>'Tesla DCF'!$B$37:$B$38</c15:sqref>
                        </c15:formulaRef>
                      </c:ext>
                    </c:extLst>
                    <c:strCache>
                      <c:ptCount val="2"/>
                      <c:pt idx="0">
                        <c:v>PV of cashflows </c:v>
                      </c:pt>
                      <c:pt idx="1">
                        <c:v>PV of TV</c:v>
                      </c:pt>
                    </c:strCache>
                  </c:strRef>
                </c:cat>
                <c:val>
                  <c:numRef>
                    <c:extLst>
                      <c:ext uri="{02D57815-91ED-43cb-92C2-25804820EDAC}">
                        <c15:formulaRef>
                          <c15:sqref>('Tesla DCF'!$C$37,'Tesla DCF'!$C$38)</c15:sqref>
                        </c15:formulaRef>
                      </c:ext>
                    </c:extLst>
                    <c:numCache>
                      <c:formatCode>General</c:formatCode>
                      <c:ptCount val="2"/>
                    </c:numCache>
                  </c:numRef>
                </c:val>
                <c:extLst>
                  <c:ext xmlns:c16="http://schemas.microsoft.com/office/drawing/2014/chart" uri="{C3380CC4-5D6E-409C-BE32-E72D297353CC}">
                    <c16:uniqueId val="{00000000-18C0-480B-8338-BF12434278F0}"/>
                  </c:ext>
                </c:extLst>
              </c15:ser>
            </c15:filteredBarSeries>
          </c:ext>
        </c:extLst>
      </c:barChart>
      <c:catAx>
        <c:axId val="517511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17515055"/>
        <c:crosses val="autoZero"/>
        <c:auto val="1"/>
        <c:lblAlgn val="ctr"/>
        <c:lblOffset val="100"/>
        <c:noMultiLvlLbl val="0"/>
      </c:catAx>
      <c:valAx>
        <c:axId val="517515055"/>
        <c:scaling>
          <c:orientation val="minMax"/>
        </c:scaling>
        <c:delete val="1"/>
        <c:axPos val="l"/>
        <c:numFmt formatCode="&quot;$&quot;#,##0.00" sourceLinked="1"/>
        <c:majorTickMark val="none"/>
        <c:minorTickMark val="none"/>
        <c:tickLblPos val="nextTo"/>
        <c:crossAx val="517511695"/>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500" b="1" i="0" u="none" strike="noStrike" cap="all" normalizeH="0" baseline="0"/>
              <a:t>Operating Cash Flow Forecast (2018A–2025E)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cat>
            <c:numRef>
              <c:f>'Tesla DCF'!$C$5:$J$5</c:f>
              <c:numCache>
                <c:formatCode>0"A"</c:formatCode>
                <c:ptCount val="8"/>
                <c:pt idx="0">
                  <c:v>2018</c:v>
                </c:pt>
                <c:pt idx="1">
                  <c:v>2019</c:v>
                </c:pt>
                <c:pt idx="2">
                  <c:v>2020</c:v>
                </c:pt>
                <c:pt idx="3">
                  <c:v>2021</c:v>
                </c:pt>
                <c:pt idx="4">
                  <c:v>2022</c:v>
                </c:pt>
                <c:pt idx="5" formatCode="0&quot;E&quot;">
                  <c:v>2023</c:v>
                </c:pt>
                <c:pt idx="6" formatCode="0&quot;E&quot;">
                  <c:v>2024</c:v>
                </c:pt>
                <c:pt idx="7" formatCode="0&quot;E&quot;">
                  <c:v>2025</c:v>
                </c:pt>
              </c:numCache>
            </c:numRef>
          </c:cat>
          <c:val>
            <c:numRef>
              <c:f>'Tesla DCF'!$C$6:$J$6</c:f>
              <c:numCache>
                <c:formatCode>"$"#,##0.00</c:formatCode>
                <c:ptCount val="8"/>
                <c:pt idx="0">
                  <c:v>2098</c:v>
                </c:pt>
                <c:pt idx="1">
                  <c:v>2405</c:v>
                </c:pt>
                <c:pt idx="2">
                  <c:v>5943</c:v>
                </c:pt>
                <c:pt idx="3">
                  <c:v>11497</c:v>
                </c:pt>
                <c:pt idx="4">
                  <c:v>14724</c:v>
                </c:pt>
                <c:pt idx="5">
                  <c:v>17668.8</c:v>
                </c:pt>
                <c:pt idx="6">
                  <c:v>21202.559999999998</c:v>
                </c:pt>
                <c:pt idx="7">
                  <c:v>25443.071999999996</c:v>
                </c:pt>
              </c:numCache>
            </c:numRef>
          </c:val>
          <c:smooth val="0"/>
          <c:extLst>
            <c:ext xmlns:c16="http://schemas.microsoft.com/office/drawing/2014/chart" uri="{C3380CC4-5D6E-409C-BE32-E72D297353CC}">
              <c16:uniqueId val="{00000000-65DF-44E1-9FF8-76914FFEA6C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242168495"/>
        <c:axId val="1242170895"/>
      </c:lineChart>
      <c:catAx>
        <c:axId val="1242168495"/>
        <c:scaling>
          <c:orientation val="minMax"/>
        </c:scaling>
        <c:delete val="0"/>
        <c:axPos val="b"/>
        <c:numFmt formatCode="0&quot;A&quot;"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42170895"/>
        <c:crosses val="autoZero"/>
        <c:auto val="1"/>
        <c:lblAlgn val="ctr"/>
        <c:lblOffset val="100"/>
        <c:noMultiLvlLbl val="0"/>
      </c:catAx>
      <c:valAx>
        <c:axId val="1242170895"/>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42168495"/>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198120</xdr:colOff>
      <xdr:row>4</xdr:row>
      <xdr:rowOff>30480</xdr:rowOff>
    </xdr:from>
    <xdr:to>
      <xdr:col>12</xdr:col>
      <xdr:colOff>205740</xdr:colOff>
      <xdr:row>8</xdr:row>
      <xdr:rowOff>106680</xdr:rowOff>
    </xdr:to>
    <xdr:sp macro="" textlink="">
      <xdr:nvSpPr>
        <xdr:cNvPr id="2" name="TextBox 1">
          <a:extLst>
            <a:ext uri="{FF2B5EF4-FFF2-40B4-BE49-F238E27FC236}">
              <a16:creationId xmlns:a16="http://schemas.microsoft.com/office/drawing/2014/main" id="{C7C7E726-1030-081D-B293-F5875621C9BC}"/>
            </a:ext>
          </a:extLst>
        </xdr:cNvPr>
        <xdr:cNvSpPr txBox="1"/>
      </xdr:nvSpPr>
      <xdr:spPr>
        <a:xfrm>
          <a:off x="198120" y="845820"/>
          <a:ext cx="7322820" cy="807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This project develops a multi-year financial forecasting and valuation model for Tesla, Inc. The objective was to analyze historical financial performance and project future operating cash flows to estimate the company’s intrinsic value.</a:t>
          </a:r>
        </a:p>
      </xdr:txBody>
    </xdr:sp>
    <xdr:clientData/>
  </xdr:twoCellAnchor>
  <xdr:twoCellAnchor>
    <xdr:from>
      <xdr:col>0</xdr:col>
      <xdr:colOff>335280</xdr:colOff>
      <xdr:row>11</xdr:row>
      <xdr:rowOff>175260</xdr:rowOff>
    </xdr:from>
    <xdr:to>
      <xdr:col>12</xdr:col>
      <xdr:colOff>373380</xdr:colOff>
      <xdr:row>17</xdr:row>
      <xdr:rowOff>45720</xdr:rowOff>
    </xdr:to>
    <xdr:sp macro="" textlink="">
      <xdr:nvSpPr>
        <xdr:cNvPr id="3" name="TextBox 2">
          <a:extLst>
            <a:ext uri="{FF2B5EF4-FFF2-40B4-BE49-F238E27FC236}">
              <a16:creationId xmlns:a16="http://schemas.microsoft.com/office/drawing/2014/main" id="{5F78CF42-0673-A3E4-74EB-17FE49669845}"/>
            </a:ext>
          </a:extLst>
        </xdr:cNvPr>
        <xdr:cNvSpPr txBox="1"/>
      </xdr:nvSpPr>
      <xdr:spPr>
        <a:xfrm>
          <a:off x="335280" y="2354580"/>
          <a:ext cx="7353300" cy="967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Historical financial data was used to build a structured Excel-based model. Key operating metrics were forecasted using growth assumptions, and projected cash flows were discounted to present value using a DCF framework. The model includes both historical analysis and forward-looking estimates to evaluate performance trends.</a:t>
          </a:r>
        </a:p>
      </xdr:txBody>
    </xdr:sp>
    <xdr:clientData/>
  </xdr:twoCellAnchor>
  <xdr:twoCellAnchor>
    <xdr:from>
      <xdr:col>0</xdr:col>
      <xdr:colOff>411480</xdr:colOff>
      <xdr:row>20</xdr:row>
      <xdr:rowOff>45720</xdr:rowOff>
    </xdr:from>
    <xdr:to>
      <xdr:col>13</xdr:col>
      <xdr:colOff>129540</xdr:colOff>
      <xdr:row>24</xdr:row>
      <xdr:rowOff>160020</xdr:rowOff>
    </xdr:to>
    <xdr:sp macro="" textlink="">
      <xdr:nvSpPr>
        <xdr:cNvPr id="4" name="TextBox 3">
          <a:extLst>
            <a:ext uri="{FF2B5EF4-FFF2-40B4-BE49-F238E27FC236}">
              <a16:creationId xmlns:a16="http://schemas.microsoft.com/office/drawing/2014/main" id="{5F374661-3B05-A1A5-7B97-A113EBBEBB73}"/>
            </a:ext>
          </a:extLst>
        </xdr:cNvPr>
        <xdr:cNvSpPr txBox="1"/>
      </xdr:nvSpPr>
      <xdr:spPr>
        <a:xfrm>
          <a:off x="411480" y="3954780"/>
          <a:ext cx="7642860" cy="845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The analysis indicates continued growth in operating cash flows over the forecast horizon, driven by revenue expansion and operating leverage. The valuation bridge highlights the relative contribution of projected cash flows and terminal value to overall firm valuation.</a:t>
          </a:r>
        </a:p>
      </xdr:txBody>
    </xdr:sp>
    <xdr:clientData/>
  </xdr:twoCellAnchor>
  <xdr:twoCellAnchor>
    <xdr:from>
      <xdr:col>0</xdr:col>
      <xdr:colOff>556260</xdr:colOff>
      <xdr:row>27</xdr:row>
      <xdr:rowOff>144780</xdr:rowOff>
    </xdr:from>
    <xdr:to>
      <xdr:col>12</xdr:col>
      <xdr:colOff>548640</xdr:colOff>
      <xdr:row>31</xdr:row>
      <xdr:rowOff>38100</xdr:rowOff>
    </xdr:to>
    <xdr:sp macro="" textlink="">
      <xdr:nvSpPr>
        <xdr:cNvPr id="5" name="TextBox 4">
          <a:extLst>
            <a:ext uri="{FF2B5EF4-FFF2-40B4-BE49-F238E27FC236}">
              <a16:creationId xmlns:a16="http://schemas.microsoft.com/office/drawing/2014/main" id="{73272E7B-A10F-06F6-5F9E-F1E8EA545064}"/>
            </a:ext>
          </a:extLst>
        </xdr:cNvPr>
        <xdr:cNvSpPr txBox="1"/>
      </xdr:nvSpPr>
      <xdr:spPr>
        <a:xfrm>
          <a:off x="556260" y="5417820"/>
          <a:ext cx="7307580" cy="624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Microsoft Excel, Financial Modeling, DCF Valuation, Cash Flow Forecasting, Financial 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247073</xdr:colOff>
      <xdr:row>40</xdr:row>
      <xdr:rowOff>35406</xdr:rowOff>
    </xdr:from>
    <xdr:to>
      <xdr:col>6</xdr:col>
      <xdr:colOff>509539</xdr:colOff>
      <xdr:row>54</xdr:row>
      <xdr:rowOff>169334</xdr:rowOff>
    </xdr:to>
    <xdr:graphicFrame macro="">
      <xdr:nvGraphicFramePr>
        <xdr:cNvPr id="3" name="Chart 2">
          <a:extLst>
            <a:ext uri="{FF2B5EF4-FFF2-40B4-BE49-F238E27FC236}">
              <a16:creationId xmlns:a16="http://schemas.microsoft.com/office/drawing/2014/main" id="{A940808B-DBEB-8358-6200-D04C28B68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207819</xdr:colOff>
      <xdr:row>40</xdr:row>
      <xdr:rowOff>86976</xdr:rowOff>
    </xdr:from>
    <xdr:to>
      <xdr:col>15</xdr:col>
      <xdr:colOff>731213</xdr:colOff>
      <xdr:row>55</xdr:row>
      <xdr:rowOff>59266</xdr:rowOff>
    </xdr:to>
    <xdr:graphicFrame macro="">
      <xdr:nvGraphicFramePr>
        <xdr:cNvPr id="2" name="Chart 1">
          <a:extLst>
            <a:ext uri="{FF2B5EF4-FFF2-40B4-BE49-F238E27FC236}">
              <a16:creationId xmlns:a16="http://schemas.microsoft.com/office/drawing/2014/main" id="{C92C36CD-4788-1AE3-2598-79B014268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1BD90-84A2-472C-8B24-B635B710EEDA}">
  <dimension ref="A3:R27"/>
  <sheetViews>
    <sheetView showGridLines="0" zoomScale="77" workbookViewId="0">
      <selection activeCell="O27" sqref="O27:R27"/>
    </sheetView>
  </sheetViews>
  <sheetFormatPr defaultRowHeight="14.4" x14ac:dyDescent="0.3"/>
  <sheetData>
    <row r="3" spans="1:18" ht="21" x14ac:dyDescent="0.4">
      <c r="A3" s="33" t="s">
        <v>31</v>
      </c>
      <c r="B3" s="33"/>
      <c r="C3" s="33"/>
      <c r="D3" s="33"/>
      <c r="E3" s="33"/>
      <c r="F3" s="33"/>
      <c r="G3" s="33"/>
      <c r="H3" s="33"/>
      <c r="I3" s="33"/>
      <c r="J3" s="33"/>
      <c r="K3" s="33"/>
      <c r="L3" s="33"/>
      <c r="M3" s="33"/>
      <c r="N3" s="33"/>
      <c r="O3" s="33"/>
      <c r="P3" s="33"/>
      <c r="Q3" s="33"/>
      <c r="R3" s="33"/>
    </row>
    <row r="11" spans="1:18" ht="21" x14ac:dyDescent="0.4">
      <c r="A11" s="33" t="s">
        <v>32</v>
      </c>
      <c r="B11" s="33"/>
      <c r="C11" s="33"/>
      <c r="D11" s="33"/>
      <c r="E11" s="33"/>
      <c r="F11" s="33"/>
      <c r="G11" s="33"/>
      <c r="H11" s="33"/>
      <c r="I11" s="33"/>
      <c r="J11" s="33"/>
      <c r="K11" s="33"/>
      <c r="L11" s="33"/>
      <c r="M11" s="33"/>
      <c r="N11" s="33"/>
      <c r="O11" s="33"/>
      <c r="P11" s="33"/>
      <c r="Q11" s="33"/>
      <c r="R11" s="33"/>
    </row>
    <row r="19" spans="1:18" ht="21" x14ac:dyDescent="0.4">
      <c r="A19" s="33" t="s">
        <v>33</v>
      </c>
      <c r="B19" s="33"/>
      <c r="C19" s="33"/>
      <c r="D19" s="33"/>
      <c r="E19" s="33"/>
      <c r="F19" s="33"/>
      <c r="G19" s="33"/>
      <c r="H19" s="33"/>
      <c r="I19" s="33"/>
      <c r="J19" s="33"/>
      <c r="K19" s="33"/>
      <c r="L19" s="33"/>
      <c r="M19" s="33"/>
      <c r="N19" s="33"/>
      <c r="O19" s="33"/>
      <c r="P19" s="33"/>
      <c r="Q19" s="33"/>
      <c r="R19" s="33"/>
    </row>
    <row r="27" spans="1:18" ht="21" x14ac:dyDescent="0.4">
      <c r="A27" s="33" t="s">
        <v>34</v>
      </c>
      <c r="B27" s="33"/>
      <c r="C27" s="33"/>
      <c r="D27" s="33"/>
      <c r="E27" s="33"/>
      <c r="F27" s="33"/>
      <c r="G27" s="33"/>
      <c r="H27" s="33"/>
      <c r="I27" s="33"/>
      <c r="J27" s="33"/>
      <c r="K27" s="33"/>
      <c r="L27" s="33"/>
      <c r="M27" s="33"/>
      <c r="N27" s="33"/>
      <c r="O27" s="1"/>
      <c r="P27" s="1"/>
      <c r="Q27" s="1"/>
      <c r="R27" s="1"/>
    </row>
  </sheetData>
  <mergeCells count="4">
    <mergeCell ref="A3:R3"/>
    <mergeCell ref="A11:R11"/>
    <mergeCell ref="A19:R19"/>
    <mergeCell ref="A27:N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08298-8EE2-4F6C-8EC3-2DCBA40790E4}">
  <dimension ref="A1:AM38"/>
  <sheetViews>
    <sheetView showGridLines="0" tabSelected="1" zoomScale="60" workbookViewId="0">
      <selection activeCell="G37" sqref="G37"/>
    </sheetView>
  </sheetViews>
  <sheetFormatPr defaultColWidth="11.77734375" defaultRowHeight="18" x14ac:dyDescent="0.35"/>
  <cols>
    <col min="1" max="1" width="11.77734375" style="2"/>
    <col min="2" max="2" width="14.44140625" style="2" customWidth="1"/>
    <col min="3" max="3" width="12" style="2" bestFit="1" customWidth="1"/>
    <col min="4" max="4" width="18" style="2" customWidth="1"/>
    <col min="5" max="5" width="12" style="2" bestFit="1" customWidth="1"/>
    <col min="6" max="6" width="14.88671875" style="2" bestFit="1" customWidth="1"/>
    <col min="7" max="9" width="13.44140625" style="2" bestFit="1" customWidth="1"/>
    <col min="10" max="10" width="15" style="2" bestFit="1" customWidth="1"/>
    <col min="11" max="14" width="11.77734375" style="2"/>
    <col min="15" max="15" width="12" style="2" bestFit="1" customWidth="1"/>
    <col min="16" max="16" width="12.6640625" style="2" bestFit="1" customWidth="1"/>
    <col min="17" max="17" width="12" style="2" bestFit="1" customWidth="1"/>
    <col min="18" max="18" width="14.88671875" style="2" customWidth="1"/>
    <col min="19" max="21" width="12" style="2" bestFit="1" customWidth="1"/>
    <col min="22" max="26" width="11.88671875" style="2" bestFit="1" customWidth="1"/>
    <col min="27" max="16384" width="11.77734375" style="2"/>
  </cols>
  <sheetData>
    <row r="1" spans="1:27" ht="36.6" x14ac:dyDescent="0.35">
      <c r="A1" s="34" t="s">
        <v>0</v>
      </c>
      <c r="B1" s="34"/>
      <c r="C1" s="34"/>
      <c r="D1" s="34"/>
      <c r="E1" s="34"/>
      <c r="F1" s="34"/>
      <c r="G1" s="34"/>
      <c r="H1" s="34"/>
      <c r="I1" s="34"/>
      <c r="J1" s="34"/>
      <c r="K1" s="34"/>
      <c r="L1" s="34"/>
      <c r="M1" s="34"/>
      <c r="N1" s="34"/>
      <c r="O1" s="34"/>
      <c r="P1" s="34"/>
      <c r="Q1" s="34"/>
      <c r="R1" s="34"/>
      <c r="S1" s="34"/>
      <c r="T1" s="34"/>
      <c r="U1" s="34"/>
      <c r="V1" s="34"/>
      <c r="W1" s="34"/>
      <c r="X1" s="34"/>
      <c r="Y1" s="34"/>
      <c r="Z1" s="34"/>
      <c r="AA1" s="34"/>
    </row>
    <row r="2" spans="1:27" x14ac:dyDescent="0.35">
      <c r="G2" s="23"/>
      <c r="H2" s="23"/>
      <c r="I2" s="23"/>
      <c r="J2" s="23"/>
      <c r="K2" s="23"/>
      <c r="L2" s="23"/>
      <c r="O2" s="2" t="s">
        <v>4</v>
      </c>
      <c r="R2" s="3">
        <v>2.9899999999999999E-2</v>
      </c>
    </row>
    <row r="3" spans="1:27" x14ac:dyDescent="0.35">
      <c r="E3" s="4" t="s">
        <v>10</v>
      </c>
      <c r="O3" s="2" t="s">
        <v>5</v>
      </c>
      <c r="R3" s="3">
        <v>7.2999999999999995E-2</v>
      </c>
    </row>
    <row r="4" spans="1:27" x14ac:dyDescent="0.35">
      <c r="H4" s="38"/>
      <c r="I4" s="38"/>
      <c r="J4" s="38"/>
      <c r="O4" s="2" t="s">
        <v>6</v>
      </c>
      <c r="R4" s="5">
        <v>1.74</v>
      </c>
      <c r="T4" s="4"/>
    </row>
    <row r="5" spans="1:27" x14ac:dyDescent="0.35">
      <c r="B5" s="24"/>
      <c r="C5" s="25">
        <v>2018</v>
      </c>
      <c r="D5" s="25">
        <v>2019</v>
      </c>
      <c r="E5" s="25">
        <v>2020</v>
      </c>
      <c r="F5" s="25">
        <v>2021</v>
      </c>
      <c r="G5" s="25">
        <v>2022</v>
      </c>
      <c r="H5" s="26">
        <v>2023</v>
      </c>
      <c r="I5" s="26">
        <v>2024</v>
      </c>
      <c r="J5" s="26">
        <v>2025</v>
      </c>
      <c r="O5" s="2" t="s">
        <v>7</v>
      </c>
      <c r="R5" s="6">
        <v>5740</v>
      </c>
      <c r="S5" s="7"/>
    </row>
    <row r="6" spans="1:27" x14ac:dyDescent="0.35">
      <c r="B6" s="2" t="s">
        <v>2</v>
      </c>
      <c r="C6" s="6">
        <v>2098</v>
      </c>
      <c r="D6" s="6">
        <v>2405</v>
      </c>
      <c r="E6" s="6">
        <v>5943</v>
      </c>
      <c r="F6" s="6">
        <v>11497</v>
      </c>
      <c r="G6" s="6">
        <v>14724</v>
      </c>
      <c r="H6" s="8">
        <f>G6*(1+H7)</f>
        <v>17668.8</v>
      </c>
      <c r="I6" s="8">
        <f t="shared" ref="I6:J6" si="0">H6*(1+I7)</f>
        <v>21202.559999999998</v>
      </c>
      <c r="J6" s="8">
        <f t="shared" si="0"/>
        <v>25443.071999999996</v>
      </c>
      <c r="O6" s="2" t="s">
        <v>8</v>
      </c>
      <c r="R6" s="3">
        <v>5.2499999999999998E-2</v>
      </c>
    </row>
    <row r="7" spans="1:27" x14ac:dyDescent="0.35">
      <c r="B7" s="2" t="s">
        <v>13</v>
      </c>
      <c r="C7" s="6" t="str">
        <f t="shared" ref="C7:G7" si="1">IFERROR((C6-B6)/B6,"NA")</f>
        <v>NA</v>
      </c>
      <c r="D7" s="9">
        <f t="shared" si="1"/>
        <v>0.1463298379408961</v>
      </c>
      <c r="E7" s="9">
        <f t="shared" si="1"/>
        <v>1.4711018711018711</v>
      </c>
      <c r="F7" s="9">
        <f t="shared" si="1"/>
        <v>0.93454484267205118</v>
      </c>
      <c r="G7" s="9">
        <f t="shared" si="1"/>
        <v>0.28068191702183176</v>
      </c>
      <c r="H7" s="9">
        <v>0.2</v>
      </c>
      <c r="I7" s="9">
        <v>0.2</v>
      </c>
      <c r="J7" s="9">
        <v>0.2</v>
      </c>
      <c r="R7" s="3"/>
    </row>
    <row r="8" spans="1:27" x14ac:dyDescent="0.35">
      <c r="B8" s="2" t="s">
        <v>3</v>
      </c>
      <c r="C8" s="6">
        <v>2101</v>
      </c>
      <c r="D8" s="6">
        <v>1327</v>
      </c>
      <c r="E8" s="6">
        <v>3157</v>
      </c>
      <c r="F8" s="6">
        <v>6482</v>
      </c>
      <c r="G8" s="6">
        <v>7158</v>
      </c>
      <c r="H8" s="8">
        <f>G8*(1+H9)</f>
        <v>8231.6999999999989</v>
      </c>
      <c r="I8" s="8">
        <f t="shared" ref="I8:J8" si="2">H8*(1+I9)</f>
        <v>9054.869999999999</v>
      </c>
      <c r="J8" s="8">
        <f t="shared" si="2"/>
        <v>9960.357</v>
      </c>
      <c r="O8" s="2" t="s">
        <v>11</v>
      </c>
      <c r="R8" s="6">
        <v>72913</v>
      </c>
    </row>
    <row r="9" spans="1:27" x14ac:dyDescent="0.35">
      <c r="B9" s="2" t="s">
        <v>13</v>
      </c>
      <c r="C9" s="6" t="str">
        <f t="shared" ref="C9:G9" si="3">IFERROR((C8-B8)/B8,"NA")</f>
        <v>NA</v>
      </c>
      <c r="D9" s="9">
        <f t="shared" si="3"/>
        <v>-0.3683960019038553</v>
      </c>
      <c r="E9" s="9">
        <f t="shared" si="3"/>
        <v>1.3790504898266767</v>
      </c>
      <c r="F9" s="9">
        <f t="shared" si="3"/>
        <v>1.0532150776053215</v>
      </c>
      <c r="G9" s="9">
        <f t="shared" si="3"/>
        <v>0.1042887997531626</v>
      </c>
      <c r="H9" s="3">
        <v>0.15</v>
      </c>
      <c r="I9" s="3">
        <v>0.1</v>
      </c>
      <c r="J9" s="3">
        <v>0.1</v>
      </c>
      <c r="O9" s="2" t="s">
        <v>16</v>
      </c>
      <c r="R9" s="8">
        <f>R8+R5</f>
        <v>78653</v>
      </c>
    </row>
    <row r="10" spans="1:27" x14ac:dyDescent="0.35">
      <c r="B10" s="4" t="s">
        <v>1</v>
      </c>
      <c r="C10" s="28">
        <f>C6-C8</f>
        <v>-3</v>
      </c>
      <c r="D10" s="28">
        <f>D6-D8</f>
        <v>1078</v>
      </c>
      <c r="E10" s="28">
        <f>E6-E8</f>
        <v>2786</v>
      </c>
      <c r="F10" s="28">
        <f>F6-F8</f>
        <v>5015</v>
      </c>
      <c r="G10" s="28">
        <f>G6-G8</f>
        <v>7566</v>
      </c>
      <c r="H10" s="28">
        <f t="shared" ref="H10:J10" si="4">H6-H8</f>
        <v>9437.1</v>
      </c>
      <c r="I10" s="28">
        <f t="shared" si="4"/>
        <v>12147.689999999999</v>
      </c>
      <c r="J10" s="28">
        <f t="shared" si="4"/>
        <v>15482.714999999997</v>
      </c>
      <c r="O10" s="2" t="s">
        <v>9</v>
      </c>
      <c r="R10" s="10">
        <f>$R$2+$R$4*($R$6)</f>
        <v>0.12125</v>
      </c>
    </row>
    <row r="11" spans="1:27" x14ac:dyDescent="0.35">
      <c r="B11" s="2" t="s">
        <v>12</v>
      </c>
      <c r="C11" s="7" t="str">
        <f>IFERROR((C10-B10)/B10,"NA")</f>
        <v>NA</v>
      </c>
      <c r="D11" s="9">
        <f>IFERROR((D10-C10)/-C10,"NA")</f>
        <v>360.33333333333331</v>
      </c>
      <c r="E11" s="9">
        <f>IFERROR((E10-D10)/D10,"NA")</f>
        <v>1.5844155844155845</v>
      </c>
      <c r="F11" s="9">
        <f t="shared" ref="F11:G11" si="5">IFERROR((F10-E10)/E10,"NA")</f>
        <v>0.80007178750897345</v>
      </c>
      <c r="G11" s="9">
        <f t="shared" si="5"/>
        <v>0.50867397806580261</v>
      </c>
      <c r="H11" s="9">
        <f t="shared" ref="H11" si="6">IFERROR((H10-G10)/G10,"NA")</f>
        <v>0.24730372720063445</v>
      </c>
      <c r="I11" s="9">
        <f t="shared" ref="I11" si="7">IFERROR((I10-H10)/H10,"NA")</f>
        <v>0.28722700829704023</v>
      </c>
      <c r="J11" s="9">
        <f t="shared" ref="J11" si="8">IFERROR((J10-I10)/I10,"NA")</f>
        <v>0.27453985078644566</v>
      </c>
      <c r="R11" s="8"/>
    </row>
    <row r="12" spans="1:27" x14ac:dyDescent="0.35">
      <c r="O12" s="2" t="s">
        <v>15</v>
      </c>
      <c r="R12" s="11">
        <v>0.22</v>
      </c>
    </row>
    <row r="13" spans="1:27" x14ac:dyDescent="0.35">
      <c r="B13" s="4" t="s">
        <v>18</v>
      </c>
      <c r="J13" s="27">
        <f>$J$10*(1+R16)/(R14-R16)</f>
        <v>244255.53382108922</v>
      </c>
    </row>
    <row r="14" spans="1:27" x14ac:dyDescent="0.35">
      <c r="O14" s="2" t="s">
        <v>14</v>
      </c>
      <c r="R14" s="9">
        <f>(R8/R9)*R10+(R5/R9)*R3*(1-R12)</f>
        <v>0.11655673464457807</v>
      </c>
    </row>
    <row r="16" spans="1:27" x14ac:dyDescent="0.35">
      <c r="B16" s="29" t="s">
        <v>19</v>
      </c>
      <c r="C16" s="30">
        <v>0</v>
      </c>
      <c r="D16" s="30">
        <v>0</v>
      </c>
      <c r="E16" s="30">
        <v>0</v>
      </c>
      <c r="F16" s="30">
        <v>0</v>
      </c>
      <c r="G16" s="30">
        <v>0</v>
      </c>
      <c r="H16" s="30">
        <v>1</v>
      </c>
      <c r="I16" s="30">
        <v>2</v>
      </c>
      <c r="J16" s="30">
        <v>3</v>
      </c>
      <c r="O16" s="2" t="s">
        <v>17</v>
      </c>
      <c r="R16" s="3">
        <v>0.05</v>
      </c>
    </row>
    <row r="17" spans="2:39" x14ac:dyDescent="0.35">
      <c r="B17" s="2" t="s">
        <v>20</v>
      </c>
      <c r="H17" s="13">
        <f>1/(1+$R$14)^H16</f>
        <v>0.89561055786235488</v>
      </c>
      <c r="I17" s="13">
        <f t="shared" ref="I17:J17" si="9">1/(1+$R$14)^I16</f>
        <v>0.80211827135451841</v>
      </c>
      <c r="J17" s="13">
        <f t="shared" si="9"/>
        <v>0.71838559247940803</v>
      </c>
    </row>
    <row r="18" spans="2:39" ht="23.4" x14ac:dyDescent="0.45">
      <c r="B18" s="2" t="s">
        <v>21</v>
      </c>
      <c r="C18" s="8">
        <f>C10</f>
        <v>-3</v>
      </c>
      <c r="D18" s="8">
        <f t="shared" ref="D18:G18" si="10">D10</f>
        <v>1078</v>
      </c>
      <c r="E18" s="8">
        <f t="shared" si="10"/>
        <v>2786</v>
      </c>
      <c r="F18" s="8">
        <f t="shared" si="10"/>
        <v>5015</v>
      </c>
      <c r="G18" s="8">
        <f t="shared" si="10"/>
        <v>7566</v>
      </c>
      <c r="H18" s="8">
        <f>H17*H10</f>
        <v>8451.9663956028289</v>
      </c>
      <c r="I18" s="8">
        <f t="shared" ref="I18:J18" si="11">I17*I10</f>
        <v>9743.8841037505681</v>
      </c>
      <c r="J18" s="8">
        <f t="shared" si="11"/>
        <v>11122.559388464815</v>
      </c>
      <c r="L18" s="8"/>
      <c r="O18" s="37" t="s">
        <v>35</v>
      </c>
      <c r="P18" s="37"/>
      <c r="Q18" s="37"/>
      <c r="R18" s="37"/>
      <c r="S18" s="37"/>
      <c r="T18" s="37"/>
      <c r="U18" s="37"/>
      <c r="V18" s="37"/>
      <c r="W18" s="37"/>
      <c r="X18" s="37"/>
      <c r="Y18" s="37"/>
      <c r="Z18" s="37"/>
      <c r="AA18" s="37"/>
      <c r="AB18" s="37"/>
    </row>
    <row r="19" spans="2:39" ht="18.600000000000001" thickBot="1" x14ac:dyDescent="0.4">
      <c r="B19" s="2" t="s">
        <v>22</v>
      </c>
      <c r="J19" s="8">
        <f>J17*J13</f>
        <v>175469.65638043726</v>
      </c>
      <c r="O19" s="21"/>
      <c r="P19" s="36" t="s">
        <v>14</v>
      </c>
      <c r="Q19" s="36"/>
      <c r="R19" s="36"/>
      <c r="S19" s="36"/>
      <c r="T19" s="36"/>
      <c r="U19" s="36"/>
      <c r="V19" s="36"/>
      <c r="W19" s="36"/>
      <c r="X19" s="36"/>
      <c r="Y19" s="36"/>
      <c r="Z19" s="36"/>
    </row>
    <row r="20" spans="2:39" x14ac:dyDescent="0.35">
      <c r="B20" s="14" t="s">
        <v>23</v>
      </c>
      <c r="C20" s="15"/>
      <c r="D20" s="15"/>
      <c r="E20" s="15"/>
      <c r="F20" s="15"/>
      <c r="G20" s="15"/>
      <c r="H20" s="15"/>
      <c r="I20" s="15"/>
      <c r="J20" s="31">
        <f>SUM(H18:J19)</f>
        <v>204788.06626825547</v>
      </c>
      <c r="N20" s="12"/>
      <c r="O20" s="12">
        <f>F31</f>
        <v>61.957141372159846</v>
      </c>
      <c r="P20" s="16">
        <v>0.05</v>
      </c>
      <c r="Q20" s="16">
        <v>0.06</v>
      </c>
      <c r="R20" s="16">
        <v>7.0000000000000007E-2</v>
      </c>
      <c r="S20" s="16">
        <v>0.08</v>
      </c>
      <c r="T20" s="16">
        <v>0.09</v>
      </c>
      <c r="U20" s="16">
        <v>0.1</v>
      </c>
      <c r="V20" s="16">
        <v>0.11</v>
      </c>
      <c r="W20" s="16">
        <v>0.12</v>
      </c>
      <c r="X20" s="16">
        <v>0.13</v>
      </c>
      <c r="Y20" s="16">
        <v>0.14000000000000001</v>
      </c>
      <c r="Z20" s="16">
        <v>0.15</v>
      </c>
      <c r="AA20" s="9"/>
      <c r="AB20" s="12"/>
      <c r="AC20" s="16"/>
      <c r="AD20" s="16"/>
      <c r="AE20" s="16"/>
      <c r="AF20" s="16"/>
      <c r="AG20" s="16"/>
      <c r="AH20" s="16"/>
      <c r="AI20" s="16"/>
      <c r="AJ20" s="16"/>
      <c r="AK20" s="16"/>
      <c r="AL20" s="16"/>
      <c r="AM20" s="16"/>
    </row>
    <row r="21" spans="2:39" x14ac:dyDescent="0.35">
      <c r="N21" s="35" t="s">
        <v>13</v>
      </c>
      <c r="O21" s="17">
        <v>0.03</v>
      </c>
      <c r="P21" s="8">
        <f t="dataTable" ref="P21:Z26" dt2D="1" dtr="1" r1="R14" r2="R16"/>
        <v>210.84402094650804</v>
      </c>
      <c r="Q21" s="8">
        <v>140.87655629003379</v>
      </c>
      <c r="R21" s="8">
        <v>105.90591511557977</v>
      </c>
      <c r="S21" s="8">
        <v>84.933638570624964</v>
      </c>
      <c r="T21" s="8">
        <v>70.960253763490329</v>
      </c>
      <c r="U21" s="8">
        <v>60.985997468848979</v>
      </c>
      <c r="V21" s="8">
        <v>53.51099708691774</v>
      </c>
      <c r="W21" s="8">
        <v>47.701997656976445</v>
      </c>
      <c r="X21" s="8">
        <v>43.059052685488865</v>
      </c>
      <c r="Y21" s="8">
        <v>39.264019996292049</v>
      </c>
      <c r="Z21" s="8">
        <v>36.104809672111081</v>
      </c>
      <c r="AB21" s="17"/>
      <c r="AC21" s="8"/>
      <c r="AD21" s="8"/>
      <c r="AE21" s="8"/>
      <c r="AF21" s="8"/>
      <c r="AG21" s="8"/>
      <c r="AH21" s="8"/>
      <c r="AI21" s="8"/>
      <c r="AJ21" s="8"/>
      <c r="AK21" s="8"/>
      <c r="AL21" s="8"/>
      <c r="AM21" s="8"/>
    </row>
    <row r="22" spans="2:39" x14ac:dyDescent="0.35">
      <c r="N22" s="35"/>
      <c r="O22" s="17">
        <v>0.05</v>
      </c>
      <c r="P22" s="8" t="e">
        <v>#DIV/0!</v>
      </c>
      <c r="Q22" s="12">
        <v>405.23264706710961</v>
      </c>
      <c r="R22" s="8">
        <v>203.19514461066302</v>
      </c>
      <c r="S22" s="8">
        <v>135.86479488014524</v>
      </c>
      <c r="T22" s="8">
        <v>102.21083279693894</v>
      </c>
      <c r="U22" s="8">
        <v>82.027119329329878</v>
      </c>
      <c r="V22" s="8">
        <v>68.57828584174294</v>
      </c>
      <c r="W22" s="8">
        <v>58.977754748096551</v>
      </c>
      <c r="X22" s="8">
        <v>51.782244701223924</v>
      </c>
      <c r="Y22" s="8">
        <v>46.189939010933429</v>
      </c>
      <c r="Z22" s="8">
        <v>41.719753029334576</v>
      </c>
      <c r="AB22" s="17"/>
      <c r="AC22" s="8"/>
      <c r="AD22" s="8"/>
      <c r="AE22" s="8"/>
      <c r="AF22" s="8"/>
      <c r="AG22" s="8"/>
      <c r="AH22" s="8"/>
      <c r="AI22" s="8"/>
      <c r="AJ22" s="8"/>
      <c r="AK22" s="8"/>
      <c r="AL22" s="8"/>
      <c r="AM22" s="8"/>
    </row>
    <row r="23" spans="2:39" x14ac:dyDescent="0.35">
      <c r="N23" s="35"/>
      <c r="O23" s="17">
        <v>0.06</v>
      </c>
      <c r="P23" s="8">
        <v>-395.34068027210895</v>
      </c>
      <c r="Q23" s="8" t="e">
        <v>#DIV/0!</v>
      </c>
      <c r="R23" s="8">
        <v>397.77360360082923</v>
      </c>
      <c r="S23" s="8">
        <v>199.52874026704555</v>
      </c>
      <c r="T23" s="8">
        <v>133.4614118303875</v>
      </c>
      <c r="U23" s="8">
        <v>100.43810095725068</v>
      </c>
      <c r="V23" s="8">
        <v>80.632116845603107</v>
      </c>
      <c r="W23" s="8">
        <v>67.434572566436628</v>
      </c>
      <c r="X23" s="8">
        <v>58.013096141034666</v>
      </c>
      <c r="Y23" s="8">
        <v>50.951508333499376</v>
      </c>
      <c r="Z23" s="8">
        <v>45.463048600816897</v>
      </c>
      <c r="AB23" s="17"/>
      <c r="AC23" s="8"/>
      <c r="AD23" s="8"/>
      <c r="AE23" s="8"/>
      <c r="AF23" s="8"/>
      <c r="AG23" s="8"/>
      <c r="AH23" s="8"/>
      <c r="AI23" s="8"/>
      <c r="AJ23" s="8"/>
      <c r="AK23" s="8"/>
      <c r="AL23" s="8"/>
      <c r="AM23" s="8"/>
    </row>
    <row r="24" spans="2:39" x14ac:dyDescent="0.35">
      <c r="B24" s="4" t="s">
        <v>28</v>
      </c>
      <c r="F24" s="8">
        <f>J20</f>
        <v>204788.06626825547</v>
      </c>
      <c r="N24" s="35"/>
      <c r="O24" s="17">
        <v>7.0000000000000007E-2</v>
      </c>
      <c r="P24" s="8">
        <v>-193.27911319923643</v>
      </c>
      <c r="Q24" s="8">
        <v>-387.83562526411703</v>
      </c>
      <c r="R24" s="8" t="e">
        <v>#DIV/0!</v>
      </c>
      <c r="S24" s="8">
        <v>390.52057642774668</v>
      </c>
      <c r="T24" s="8">
        <v>195.96256989728479</v>
      </c>
      <c r="U24" s="8">
        <v>131.12307033711866</v>
      </c>
      <c r="V24" s="8">
        <v>98.712863351393366</v>
      </c>
      <c r="W24" s="8">
        <v>79.274117512112738</v>
      </c>
      <c r="X24" s="8">
        <v>66.320898060782326</v>
      </c>
      <c r="Y24" s="8">
        <v>57.07352603394132</v>
      </c>
      <c r="Z24" s="8">
        <v>50.142168065169798</v>
      </c>
      <c r="AB24" s="17"/>
      <c r="AC24" s="8"/>
      <c r="AD24" s="8"/>
      <c r="AE24" s="8"/>
      <c r="AF24" s="8"/>
      <c r="AG24" s="8"/>
      <c r="AH24" s="8"/>
      <c r="AI24" s="8"/>
      <c r="AJ24" s="8"/>
      <c r="AK24" s="8"/>
      <c r="AL24" s="8"/>
      <c r="AM24" s="8"/>
    </row>
    <row r="25" spans="2:39" x14ac:dyDescent="0.35">
      <c r="B25" s="2" t="s">
        <v>7</v>
      </c>
      <c r="F25" s="8">
        <f>R5</f>
        <v>5740</v>
      </c>
      <c r="N25" s="35"/>
      <c r="O25" s="17">
        <v>0.09</v>
      </c>
      <c r="P25" s="8">
        <v>-92.248329662800359</v>
      </c>
      <c r="Q25" s="8">
        <v>-123.47953448704185</v>
      </c>
      <c r="R25" s="8">
        <v>-185.96177336967011</v>
      </c>
      <c r="S25" s="8">
        <v>-373.44676821505772</v>
      </c>
      <c r="T25" s="8" t="e">
        <v>#DIV/0!</v>
      </c>
      <c r="U25" s="8">
        <v>376.6028253760623</v>
      </c>
      <c r="V25" s="8">
        <v>189.11659588034459</v>
      </c>
      <c r="W25" s="8">
        <v>126.63229729481715</v>
      </c>
      <c r="X25" s="8">
        <v>95.398204779899174</v>
      </c>
      <c r="Y25" s="8">
        <v>76.663982675355513</v>
      </c>
      <c r="Z25" s="8">
        <v>64.179526458228509</v>
      </c>
      <c r="AB25" s="17"/>
      <c r="AC25" s="8"/>
      <c r="AD25" s="8"/>
      <c r="AE25" s="8"/>
      <c r="AF25" s="8"/>
      <c r="AG25" s="8"/>
      <c r="AH25" s="8"/>
      <c r="AI25" s="8"/>
      <c r="AJ25" s="8"/>
      <c r="AK25" s="8"/>
      <c r="AL25" s="8"/>
      <c r="AM25" s="8"/>
    </row>
    <row r="26" spans="2:39" ht="18.600000000000001" thickBot="1" x14ac:dyDescent="0.4">
      <c r="B26" s="2" t="s">
        <v>24</v>
      </c>
      <c r="F26" s="8">
        <v>16253</v>
      </c>
      <c r="N26" s="35"/>
      <c r="O26" s="17">
        <v>0.1</v>
      </c>
      <c r="P26" s="8">
        <v>-72.042172955513124</v>
      </c>
      <c r="Q26" s="8">
        <v>-90.435023139907386</v>
      </c>
      <c r="R26" s="8">
        <v>-121.10228703961451</v>
      </c>
      <c r="S26" s="8">
        <v>-182.45493205435645</v>
      </c>
      <c r="T26" s="8">
        <v>-366.5478527047897</v>
      </c>
      <c r="U26" s="8" t="e">
        <v>#DIV/0!</v>
      </c>
      <c r="V26" s="8">
        <v>369.92406093824735</v>
      </c>
      <c r="W26" s="8">
        <v>185.83002202319781</v>
      </c>
      <c r="X26" s="8">
        <v>124.47551149901605</v>
      </c>
      <c r="Y26" s="8">
        <v>93.80563223659297</v>
      </c>
      <c r="Z26" s="8">
        <v>75.409413172675499</v>
      </c>
      <c r="AB26" s="17"/>
      <c r="AC26" s="8"/>
      <c r="AD26" s="8"/>
      <c r="AE26" s="8"/>
      <c r="AF26" s="8"/>
      <c r="AG26" s="8"/>
      <c r="AH26" s="8"/>
      <c r="AI26" s="8"/>
      <c r="AJ26" s="8"/>
      <c r="AK26" s="8"/>
      <c r="AL26" s="8"/>
      <c r="AM26" s="8"/>
    </row>
    <row r="27" spans="2:39" ht="18.600000000000001" thickBot="1" x14ac:dyDescent="0.4">
      <c r="B27" s="18" t="s">
        <v>25</v>
      </c>
      <c r="C27" s="19"/>
      <c r="D27" s="19"/>
      <c r="E27" s="19"/>
      <c r="F27" s="20">
        <f>F24-F25+F26</f>
        <v>215301.06626825547</v>
      </c>
      <c r="O27" s="21"/>
    </row>
    <row r="28" spans="2:39" ht="18.600000000000001" thickTop="1" x14ac:dyDescent="0.35">
      <c r="O28" s="21"/>
    </row>
    <row r="30" spans="2:39" ht="18.600000000000001" thickBot="1" x14ac:dyDescent="0.4">
      <c r="B30" s="39" t="s">
        <v>26</v>
      </c>
      <c r="C30" s="39"/>
      <c r="D30" s="39"/>
      <c r="E30" s="39"/>
      <c r="F30" s="22">
        <v>3475</v>
      </c>
      <c r="O30" s="8"/>
      <c r="P30" s="16"/>
      <c r="Q30" s="16"/>
      <c r="R30" s="16"/>
      <c r="S30" s="16"/>
      <c r="T30" s="16"/>
      <c r="U30" s="16"/>
      <c r="V30" s="16"/>
      <c r="W30" s="16"/>
      <c r="X30" s="16"/>
      <c r="Y30" s="16"/>
      <c r="Z30" s="16"/>
    </row>
    <row r="31" spans="2:39" ht="18.600000000000001" thickBot="1" x14ac:dyDescent="0.4">
      <c r="B31" s="40" t="s">
        <v>27</v>
      </c>
      <c r="C31" s="41"/>
      <c r="D31" s="41"/>
      <c r="E31" s="41"/>
      <c r="F31" s="32">
        <f>F27/F30</f>
        <v>61.957141372159846</v>
      </c>
      <c r="O31" s="17"/>
    </row>
    <row r="32" spans="2:39" x14ac:dyDescent="0.35">
      <c r="O32" s="17"/>
    </row>
    <row r="33" spans="2:16" x14ac:dyDescent="0.35">
      <c r="O33" s="17"/>
    </row>
    <row r="34" spans="2:16" x14ac:dyDescent="0.35">
      <c r="O34" s="17"/>
    </row>
    <row r="35" spans="2:16" x14ac:dyDescent="0.35">
      <c r="O35" s="17"/>
    </row>
    <row r="36" spans="2:16" ht="23.4" x14ac:dyDescent="0.45">
      <c r="B36" s="37" t="s">
        <v>29</v>
      </c>
      <c r="C36" s="37"/>
      <c r="D36" s="37"/>
      <c r="E36" s="37"/>
      <c r="F36" s="37"/>
      <c r="G36" s="37"/>
      <c r="K36" s="37" t="s">
        <v>30</v>
      </c>
      <c r="L36" s="37"/>
      <c r="M36" s="37"/>
      <c r="N36" s="37"/>
      <c r="O36" s="37"/>
      <c r="P36" s="37"/>
    </row>
    <row r="37" spans="2:16" x14ac:dyDescent="0.35">
      <c r="B37" s="4" t="s">
        <v>21</v>
      </c>
      <c r="D37" s="8">
        <f>SUM(C18:J18)</f>
        <v>45760.409887818212</v>
      </c>
    </row>
    <row r="38" spans="2:16" x14ac:dyDescent="0.35">
      <c r="B38" s="4" t="s">
        <v>22</v>
      </c>
      <c r="D38" s="8">
        <f>J19</f>
        <v>175469.65638043726</v>
      </c>
    </row>
  </sheetData>
  <mergeCells count="9">
    <mergeCell ref="B36:G36"/>
    <mergeCell ref="B30:E30"/>
    <mergeCell ref="B31:E31"/>
    <mergeCell ref="K36:P36"/>
    <mergeCell ref="A1:AA1"/>
    <mergeCell ref="N21:N26"/>
    <mergeCell ref="P19:Z19"/>
    <mergeCell ref="O18:AB18"/>
    <mergeCell ref="H4:J4"/>
  </mergeCells>
  <conditionalFormatting sqref="O20:O26">
    <cfRule type="cellIs" dxfId="6" priority="11" operator="lessThan">
      <formula>0</formula>
    </cfRule>
  </conditionalFormatting>
  <conditionalFormatting sqref="O31:O35">
    <cfRule type="cellIs" dxfId="5" priority="5" operator="lessThan">
      <formula>0</formula>
    </cfRule>
  </conditionalFormatting>
  <conditionalFormatting sqref="P20:Z26">
    <cfRule type="cellIs" dxfId="4" priority="1" operator="greaterThan">
      <formula>400</formula>
    </cfRule>
  </conditionalFormatting>
  <conditionalFormatting sqref="P30:Z30">
    <cfRule type="cellIs" dxfId="3" priority="4" operator="lessThan">
      <formula>0</formula>
    </cfRule>
  </conditionalFormatting>
  <conditionalFormatting sqref="AB21:AB26">
    <cfRule type="cellIs" dxfId="2" priority="8" operator="lessThan">
      <formula>0</formula>
    </cfRule>
  </conditionalFormatting>
  <conditionalFormatting sqref="AC20:AM26">
    <cfRule type="cellIs" dxfId="1" priority="7" operator="lessThan">
      <formula>0</formula>
    </cfRule>
  </conditionalFormatting>
  <conditionalFormatting sqref="AC21:AM26">
    <cfRule type="cellIs" dxfId="0" priority="6" operator="greaterThan">
      <formula>400</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9a3da618-3001-4f93-87ac-88b66e6d296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94AC36D0D2B254FA215DA00BF7F015F" ma:contentTypeVersion="10" ma:contentTypeDescription="Create a new document." ma:contentTypeScope="" ma:versionID="d364b73b15620ae1d7c46fcd1d0492fe">
  <xsd:schema xmlns:xsd="http://www.w3.org/2001/XMLSchema" xmlns:xs="http://www.w3.org/2001/XMLSchema" xmlns:p="http://schemas.microsoft.com/office/2006/metadata/properties" xmlns:ns3="9a3da618-3001-4f93-87ac-88b66e6d296b" targetNamespace="http://schemas.microsoft.com/office/2006/metadata/properties" ma:root="true" ma:fieldsID="a652e2f6ed610bb55eabe43b1e5a5308" ns3:_="">
    <xsd:import namespace="9a3da618-3001-4f93-87ac-88b66e6d296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3da618-3001-4f93-87ac-88b66e6d296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003C10-3E41-49E0-8C20-FCE4EB518D13}">
  <ds:schemaRefs>
    <ds:schemaRef ds:uri="http://schemas.microsoft.com/sharepoint/v3/contenttype/forms"/>
  </ds:schemaRefs>
</ds:datastoreItem>
</file>

<file path=customXml/itemProps2.xml><?xml version="1.0" encoding="utf-8"?>
<ds:datastoreItem xmlns:ds="http://schemas.openxmlformats.org/officeDocument/2006/customXml" ds:itemID="{3CF0FEE6-3DCE-424E-947A-259EF86F9D0A}">
  <ds:schemaRefs>
    <ds:schemaRef ds:uri="http://schemas.microsoft.com/office/infopath/2007/PartnerControls"/>
    <ds:schemaRef ds:uri="http://purl.org/dc/elements/1.1/"/>
    <ds:schemaRef ds:uri="http://schemas.openxmlformats.org/package/2006/metadata/core-properties"/>
    <ds:schemaRef ds:uri="http://purl.org/dc/dcmitype/"/>
    <ds:schemaRef ds:uri="9a3da618-3001-4f93-87ac-88b66e6d296b"/>
    <ds:schemaRef ds:uri="http://schemas.microsoft.com/office/2006/documentManagement/types"/>
    <ds:schemaRef ds:uri="http://schemas.microsoft.com/office/2006/metadata/properties"/>
    <ds:schemaRef ds:uri="http://www.w3.org/XML/1998/namespace"/>
    <ds:schemaRef ds:uri="http://purl.org/dc/terms/"/>
  </ds:schemaRefs>
</ds:datastoreItem>
</file>

<file path=customXml/itemProps3.xml><?xml version="1.0" encoding="utf-8"?>
<ds:datastoreItem xmlns:ds="http://schemas.openxmlformats.org/officeDocument/2006/customXml" ds:itemID="{DA25A6ED-F77E-49DC-9F74-4E914B02EB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3da618-3001-4f93-87ac-88b66e6d29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Summary</vt:lpstr>
      <vt:lpstr>Tesla 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Thakkar, Tirth Manishbhai</dc:creator>
  <cp:lastModifiedBy>Thakkar, Tirth Manishbhai</cp:lastModifiedBy>
  <dcterms:created xsi:type="dcterms:W3CDTF">2025-09-18T15:53:04Z</dcterms:created>
  <dcterms:modified xsi:type="dcterms:W3CDTF">2026-02-20T19:33:53Z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0x010100E94AC36D0D2B254FA215DA00BF7F015F</vt:lpwstr>
  </property>
</Properties>
</file>